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topype\01_survey_tool\01_input\"/>
    </mc:Choice>
  </mc:AlternateContent>
  <xr:revisionPtr revIDLastSave="0" documentId="13_ncr:1_{ABE3B342-F052-40F1-B5CF-01D5A8EDFB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<sst xmlns="http://schemas.openxmlformats.org/spreadsheetml/2006/main" count="606" uniqueCount="46">
  <si>
    <t>毎木調査表</t>
  </si>
  <si>
    <t>調査ID</t>
  </si>
  <si>
    <t>P001</t>
  </si>
  <si>
    <t>地域名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</si>
  <si>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</si>
  <si>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</si>
  <si>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</si>
  <si>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</si>
  <si>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</si>
  <si>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</si>
  <si>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</si>
  <si>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</si>
  <si>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</si>
  <si>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</si>
  <si>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</si>
  <si>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</si>
  <si>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</si>
  <si>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</si>
  <si>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</si>
  <si>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</si>
  <si>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</si>
  <si>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</si>
  <si>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</si>
  <si>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</si>
  <si>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</si>
  <si>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</si>
  <si>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</si>
  <si>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</si>
  <si>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</si>
  <si>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</si>
  <si>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</si>
  <si>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</si>
  <si>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</si>
  <si>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</si>
  <si>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2026/5/17 14:10～15:00</t>
  </si>
  <si>
    <t>上部斜面</t>
  </si>
  <si>
    <t>P003</t>
  </si>
  <si>
    <t>2026/5/18 9:30～10:30</t>
  </si>
  <si>
    <t>下部斜面</t>
  </si>
  <si>
    <t>東</t>
  </si>
  <si>
    <t>2026/5/17 12:30～13:30</t>
    <phoneticPr fontId="1"/>
  </si>
  <si>
    <t>杉</t>
    <rPh sb="0" eb="1">
      <t>スギ</t>
    </rPh>
    <phoneticPr fontId="1"/>
  </si>
  <si>
    <t>ああああああ</t>
    <phoneticPr fontId="1"/>
  </si>
  <si>
    <t>高松市</t>
    <rPh sb="0" eb="3">
      <t>タカマツシ</t>
    </rPh>
    <phoneticPr fontId="1"/>
  </si>
  <si>
    <t>ブナ</t>
    <phoneticPr fontId="1"/>
  </si>
  <si>
    <t>ヒノキ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</si>
</sst>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7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35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6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right" vertical="center" wrapText="1"/>
    </xf>
    <xf numFmtId="177" fontId="3" fillId="5" borderId="2" xfId="0" applyNumberFormat="1" applyFont="1" applyFill="1" applyBorder="1" applyAlignment="1">
      <alignment horizontal="left" vertical="center"/>
    </xf>
    <xf numFmtId="1" fontId="4" fillId="5" borderId="4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tabSelected="1" topLeftCell="A24" workbookViewId="0">
      <selection activeCell="F39" sqref="F39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4" t="s">
        <v>0</v>
      </c>
      <c r="B1" s="25"/>
      <c r="C1" s="25"/>
      <c r="D1" s="25"/>
      <c r="E1" s="25"/>
      <c r="F1" s="25"/>
      <c r="G1" s="25"/>
      <c r="H1" s="26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43</v>
      </c>
      <c r="E2" s="2" t="s">
        <v>4</v>
      </c>
      <c r="F2" s="20" t="s">
        <v>40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13</v>
      </c>
    </row>
    <row r="4" spans="1:8" ht="19" customHeight="1" x14ac:dyDescent="0.2">
      <c r="A4" s="2" t="s">
        <v>14</v>
      </c>
      <c r="B4" s="3" t="s">
        <v>15</v>
      </c>
      <c r="C4" s="2" t="s">
        <v>16</v>
      </c>
      <c r="D4" s="22">
        <v>25</v>
      </c>
      <c r="E4" s="2" t="s">
        <v>17</v>
      </c>
      <c r="F4" s="17">
        <v>34.364769000000003</v>
      </c>
      <c r="G4" s="2" t="s">
        <v>18</v>
      </c>
      <c r="H4" s="17">
        <v>134.141581</v>
      </c>
    </row>
    <row r="5" spans="1:8" ht="27" customHeight="1" x14ac:dyDescent="0.2">
      <c r="A5" s="2" t="s">
        <v>19</v>
      </c>
      <c r="B5" s="18">
        <f>IFERROR(AVERAGE(C7:C76),"")</f>
        <v>18.616666666666667</v>
      </c>
      <c r="C5" s="2" t="s">
        <v>20</v>
      </c>
      <c r="D5" s="18">
        <f>IFERROR(AVERAGE(D7:D76),"")</f>
        <v>7.6899999999999995</v>
      </c>
      <c r="E5" s="2" t="s">
        <v>21</v>
      </c>
      <c r="F5" s="18">
        <f>IFERROR(AVERAGE(E7:E76),"")</f>
        <v>34.126666666666658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6" t="s">
        <v>10</v>
      </c>
      <c r="C7" s="7">
        <v>18.5</v>
      </c>
      <c r="D7" s="7">
        <v>10.6</v>
      </c>
      <c r="E7" s="7">
        <v>42.8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15.5</v>
      </c>
      <c r="D8" s="11">
        <v>4.4000000000000004</v>
      </c>
      <c r="E8" s="11">
        <v>31.2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11">
        <v>10.4</v>
      </c>
      <c r="D9" s="11">
        <v>7.2</v>
      </c>
      <c r="E9" s="33">
        <v>57.9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18.3</v>
      </c>
      <c r="D10" s="11">
        <v>9</v>
      </c>
      <c r="E10" s="11">
        <v>59.9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10" t="s">
        <v>10</v>
      </c>
      <c r="C11" s="11">
        <v>10.8</v>
      </c>
      <c r="D11" s="11">
        <v>7.1</v>
      </c>
      <c r="E11" s="11">
        <v>46.7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11">
        <v>22.3</v>
      </c>
      <c r="D12" s="11">
        <v>13.9</v>
      </c>
      <c r="E12" s="11">
        <v>24.3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25.7</v>
      </c>
      <c r="D13" s="11">
        <v>4.0999999999999996</v>
      </c>
      <c r="E13" s="11">
        <v>20.7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17.100000000000001</v>
      </c>
      <c r="D14" s="11">
        <v>10.199999999999999</v>
      </c>
      <c r="E14" s="11">
        <v>22.2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17.8</v>
      </c>
      <c r="D15" s="11">
        <v>3</v>
      </c>
      <c r="E15" s="11">
        <v>26.6</v>
      </c>
      <c r="F15" s="10" t="s">
        <v>31</v>
      </c>
      <c r="G15" s="10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26</v>
      </c>
      <c r="D16" s="11">
        <v>14.6</v>
      </c>
      <c r="E16" s="11">
        <v>41</v>
      </c>
      <c r="F16" s="10" t="s">
        <v>31</v>
      </c>
      <c r="G16" s="10" t="s">
        <v>31</v>
      </c>
      <c r="H16" s="12"/>
    </row>
    <row r="17" spans="1:8" ht="12.75" customHeight="1" x14ac:dyDescent="0.2">
      <c r="A17" s="9">
        <v>11</v>
      </c>
      <c r="B17" s="10" t="s">
        <v>10</v>
      </c>
      <c r="C17" s="11">
        <v>16.3</v>
      </c>
      <c r="D17" s="11">
        <v>1.3</v>
      </c>
      <c r="E17" s="33">
        <v>54.4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19.8</v>
      </c>
      <c r="D18" s="11">
        <v>8.1</v>
      </c>
      <c r="E18" s="11">
        <v>33.5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25.2</v>
      </c>
      <c r="D19" s="11">
        <v>6.9</v>
      </c>
      <c r="E19" s="11">
        <v>34.5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26.9</v>
      </c>
      <c r="D20" s="11">
        <v>1.9</v>
      </c>
      <c r="E20" s="11">
        <v>10.7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17.8</v>
      </c>
      <c r="D21" s="11">
        <v>9.3000000000000007</v>
      </c>
      <c r="E21" s="11">
        <v>18.399999999999999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28.9</v>
      </c>
      <c r="D22" s="11">
        <v>11.3</v>
      </c>
      <c r="E22" s="11">
        <v>33.5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5.3</v>
      </c>
      <c r="E23" s="11">
        <v>39.299999999999997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18.3</v>
      </c>
      <c r="D24" s="11">
        <v>9.4</v>
      </c>
      <c r="E24" s="11">
        <v>10.9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10" t="s">
        <v>10</v>
      </c>
      <c r="C25" s="11">
        <v>22.8</v>
      </c>
      <c r="D25" s="11">
        <v>7.3</v>
      </c>
      <c r="E25" s="11">
        <v>48.4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10" t="s">
        <v>10</v>
      </c>
      <c r="C26" s="11">
        <v>26.7</v>
      </c>
      <c r="D26" s="11">
        <v>12.7</v>
      </c>
      <c r="E26" s="11">
        <v>29.3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10" t="s">
        <v>10</v>
      </c>
      <c r="C27" s="11">
        <v>12.1</v>
      </c>
      <c r="D27" s="11">
        <v>7.3</v>
      </c>
      <c r="E27" s="11">
        <v>31.4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10.9</v>
      </c>
      <c r="D28" s="11">
        <v>7.6</v>
      </c>
      <c r="E28" s="33">
        <v>49.1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20.8</v>
      </c>
      <c r="D29" s="11">
        <v>14.5</v>
      </c>
      <c r="E29" s="33">
        <v>17.7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9.6</v>
      </c>
      <c r="D30" s="11">
        <v>4.7</v>
      </c>
      <c r="E30" s="33">
        <v>38.4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8.6999999999999993</v>
      </c>
      <c r="D31" s="11">
        <v>5.5</v>
      </c>
      <c r="E31" s="33">
        <v>24.5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25</v>
      </c>
      <c r="D32" s="11">
        <v>13.2</v>
      </c>
      <c r="E32" s="33">
        <v>24.3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10.199999999999999</v>
      </c>
      <c r="D33" s="11">
        <v>6.1</v>
      </c>
      <c r="E33" s="33">
        <v>51.6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20.7</v>
      </c>
      <c r="D34" s="11">
        <v>1.5</v>
      </c>
      <c r="E34" s="33">
        <v>35.700000000000003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25.9</v>
      </c>
      <c r="D35" s="11">
        <v>8.8000000000000007</v>
      </c>
      <c r="E35" s="33">
        <v>34.5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14.4</v>
      </c>
      <c r="D36" s="11">
        <v>3.9</v>
      </c>
      <c r="E36" s="33">
        <v>30.4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33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topLeftCell="A27" workbookViewId="0">
      <selection activeCell="F43" sqref="F43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4" t="s">
        <v>0</v>
      </c>
      <c r="B1" s="25"/>
      <c r="C1" s="25"/>
      <c r="D1" s="25"/>
      <c r="E1" s="25"/>
      <c r="F1" s="25"/>
      <c r="G1" s="25"/>
      <c r="H1" s="26"/>
    </row>
    <row r="2" spans="1:8" ht="19" customHeight="1" x14ac:dyDescent="0.2">
      <c r="A2" s="2" t="s">
        <v>1</v>
      </c>
      <c r="B2" s="3" t="s">
        <v>33</v>
      </c>
      <c r="C2" s="2" t="s">
        <v>3</v>
      </c>
      <c r="D2" s="3" t="s">
        <v>43</v>
      </c>
      <c r="E2" s="2" t="s">
        <v>4</v>
      </c>
      <c r="F2" s="20" t="s">
        <v>34</v>
      </c>
      <c r="G2" s="2" t="s">
        <v>5</v>
      </c>
      <c r="H2" s="27" t="s">
        <v>32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35</v>
      </c>
    </row>
    <row r="4" spans="1:8" ht="19" customHeight="1" x14ac:dyDescent="0.2">
      <c r="A4" s="2" t="s">
        <v>14</v>
      </c>
      <c r="B4" s="28"/>
      <c r="C4" s="2" t="s">
        <v>16</v>
      </c>
      <c r="D4" s="22">
        <v>30</v>
      </c>
      <c r="E4" s="2" t="s">
        <v>17</v>
      </c>
      <c r="F4" s="17">
        <v>34.363030000000002</v>
      </c>
      <c r="G4" s="2" t="s">
        <v>18</v>
      </c>
      <c r="H4" s="17">
        <v>134.14425700000001</v>
      </c>
    </row>
    <row r="5" spans="1:8" ht="27" customHeight="1" x14ac:dyDescent="0.2">
      <c r="A5" s="2" t="s">
        <v>19</v>
      </c>
      <c r="B5" s="18">
        <f>IFERROR(AVERAGE(C7:C76),"")</f>
        <v>19.139999999999997</v>
      </c>
      <c r="C5" s="2" t="s">
        <v>20</v>
      </c>
      <c r="D5" s="18">
        <f>IFERROR(AVERAGE(D7:D76),"")</f>
        <v>8.0333333333333332</v>
      </c>
      <c r="E5" s="2" t="s">
        <v>21</v>
      </c>
      <c r="F5" s="18">
        <f>IFERROR(AVERAGE(E7:E76),"")</f>
        <v>30.90666666666667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6" t="s">
        <v>10</v>
      </c>
      <c r="C7" s="7">
        <v>19.100000000000001</v>
      </c>
      <c r="D7" s="7">
        <v>10.6</v>
      </c>
      <c r="E7" s="7">
        <v>33.9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20.399999999999999</v>
      </c>
      <c r="D8" s="11">
        <v>13.7</v>
      </c>
      <c r="E8" s="11">
        <v>26.3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11">
        <v>23.7</v>
      </c>
      <c r="D9" s="11">
        <v>4</v>
      </c>
      <c r="E9" s="11">
        <v>15.5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28.2</v>
      </c>
      <c r="D10" s="11">
        <v>14.3</v>
      </c>
      <c r="E10" s="29">
        <v>0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23" t="s">
        <v>41</v>
      </c>
      <c r="C11" s="11">
        <v>27</v>
      </c>
      <c r="D11" s="11">
        <v>12.1</v>
      </c>
      <c r="E11" s="11">
        <v>53.1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29">
        <v>15</v>
      </c>
      <c r="D12" s="29">
        <v>25</v>
      </c>
      <c r="E12" s="11">
        <v>29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18.5</v>
      </c>
      <c r="D13" s="11">
        <v>6.1</v>
      </c>
      <c r="E13" s="11">
        <v>39.200000000000003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17.399999999999999</v>
      </c>
      <c r="D14" s="11">
        <v>2.6</v>
      </c>
      <c r="E14" s="11">
        <v>17.899999999999999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14.1</v>
      </c>
      <c r="D15" s="11">
        <v>6.5</v>
      </c>
      <c r="E15" s="11">
        <v>25</v>
      </c>
      <c r="F15" s="10" t="s">
        <v>31</v>
      </c>
      <c r="G15" s="10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15</v>
      </c>
      <c r="D16" s="11">
        <v>7.3</v>
      </c>
      <c r="E16" s="11">
        <v>32.9</v>
      </c>
      <c r="F16" s="10" t="s">
        <v>31</v>
      </c>
      <c r="G16" s="10" t="s">
        <v>31</v>
      </c>
      <c r="H16" s="12"/>
    </row>
    <row r="17" spans="1:8" ht="12.75" customHeight="1" x14ac:dyDescent="0.2">
      <c r="A17" s="9">
        <v>11</v>
      </c>
      <c r="B17" s="10" t="s">
        <v>10</v>
      </c>
      <c r="C17" s="11">
        <v>18.2</v>
      </c>
      <c r="D17" s="11">
        <v>7.5</v>
      </c>
      <c r="E17" s="11">
        <v>14.5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20.2</v>
      </c>
      <c r="D18" s="11">
        <v>1</v>
      </c>
      <c r="E18" s="11">
        <v>56.5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27.7</v>
      </c>
      <c r="D19" s="11">
        <v>17.2</v>
      </c>
      <c r="E19" s="11">
        <v>28.7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17.3</v>
      </c>
      <c r="D20" s="11">
        <v>11.4</v>
      </c>
      <c r="E20" s="11">
        <v>28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16.399999999999999</v>
      </c>
      <c r="D21" s="11">
        <v>10.3</v>
      </c>
      <c r="E21" s="11">
        <v>11.8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14.4</v>
      </c>
      <c r="D22" s="11">
        <v>2.5</v>
      </c>
      <c r="E22" s="29">
        <v>50.8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23" t="s">
        <v>44</v>
      </c>
      <c r="C23" s="11">
        <v>12.2</v>
      </c>
      <c r="D23" s="11">
        <v>2.4</v>
      </c>
      <c r="E23" s="11">
        <v>25.8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22.9</v>
      </c>
      <c r="D24" s="11">
        <v>14.2</v>
      </c>
      <c r="E24" s="11">
        <v>17.2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10" t="s">
        <v>10</v>
      </c>
      <c r="C25" s="11">
        <v>21.9</v>
      </c>
      <c r="D25" s="11">
        <v>14.2</v>
      </c>
      <c r="E25" s="11">
        <v>20.5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10" t="s">
        <v>10</v>
      </c>
      <c r="C26" s="11">
        <v>11.4</v>
      </c>
      <c r="D26" s="11">
        <v>2.2000000000000002</v>
      </c>
      <c r="E26" s="11">
        <v>17.399999999999999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10" t="s">
        <v>10</v>
      </c>
      <c r="C27" s="11">
        <v>21.8</v>
      </c>
      <c r="D27" s="11">
        <v>11.7</v>
      </c>
      <c r="E27" s="11">
        <v>33.5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29.8</v>
      </c>
      <c r="D28" s="11">
        <v>8.1999999999999993</v>
      </c>
      <c r="E28" s="11">
        <v>54.3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14.3</v>
      </c>
      <c r="D29" s="11">
        <v>2.2999999999999998</v>
      </c>
      <c r="E29" s="11">
        <v>46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16.100000000000001</v>
      </c>
      <c r="D30" s="11">
        <v>8.4</v>
      </c>
      <c r="E30" s="11">
        <v>49.2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20.5</v>
      </c>
      <c r="D31" s="11">
        <v>6.6</v>
      </c>
      <c r="E31" s="11">
        <v>48.2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23</v>
      </c>
      <c r="D32" s="11">
        <v>3.7</v>
      </c>
      <c r="E32" s="11">
        <v>23.8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25.8</v>
      </c>
      <c r="D33" s="11">
        <v>7.9</v>
      </c>
      <c r="E33" s="11">
        <v>20.6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15.5</v>
      </c>
      <c r="D34" s="11">
        <v>3.8</v>
      </c>
      <c r="E34" s="11">
        <v>35.6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15</v>
      </c>
      <c r="D35" s="11">
        <v>2.2999999999999998</v>
      </c>
      <c r="E35" s="11">
        <v>45.3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11.4</v>
      </c>
      <c r="D36" s="11">
        <v>1</v>
      </c>
      <c r="E36" s="11">
        <v>26.7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dataValidations count="2">
    <dataValidation type="list" allowBlank="1" showInputMessage="1" showErrorMessage="1" sqref="F13" xr:uid="{CD2890EE-BAED-4B39-9B58-F474CCA96AB9}">
      <formula1>""" "",""晴れ"",""曇り"""</formula1>
    </dataValidation>
    <dataValidation type="list" allowBlank="1" showInputMessage="1" showErrorMessage="1" sqref="H2" xr:uid="{A14A41E6-60F9-4620-BD5A-0317340F0F67}">
      <formula1>"　,晴れ,曇り,雨,雪"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workbookViewId="0">
      <selection activeCell="M15" sqref="M15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4" t="s">
        <v>0</v>
      </c>
      <c r="B1" s="25"/>
      <c r="C1" s="25"/>
      <c r="D1" s="25"/>
      <c r="E1" s="25"/>
      <c r="F1" s="25"/>
      <c r="G1" s="25"/>
      <c r="H1" s="26"/>
    </row>
    <row r="2" spans="1:8" ht="19" customHeight="1" x14ac:dyDescent="0.2">
      <c r="A2" s="2" t="s">
        <v>1</v>
      </c>
      <c r="B2" s="3" t="s">
        <v>36</v>
      </c>
      <c r="C2" s="2" t="s">
        <v>3</v>
      </c>
      <c r="D2" s="3" t="s">
        <v>43</v>
      </c>
      <c r="E2" s="2" t="s">
        <v>4</v>
      </c>
      <c r="F2" s="20" t="s">
        <v>37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200</v>
      </c>
      <c r="G3" s="2" t="s">
        <v>12</v>
      </c>
      <c r="H3" s="3" t="s">
        <v>38</v>
      </c>
    </row>
    <row r="4" spans="1:8" ht="19" customHeight="1" x14ac:dyDescent="0.2">
      <c r="A4" s="2" t="s">
        <v>14</v>
      </c>
      <c r="B4" s="3" t="s">
        <v>39</v>
      </c>
      <c r="C4" s="2" t="s">
        <v>16</v>
      </c>
      <c r="D4" s="30">
        <v>500</v>
      </c>
      <c r="E4" s="2" t="s">
        <v>17</v>
      </c>
      <c r="F4" s="31"/>
      <c r="G4" s="2" t="s">
        <v>18</v>
      </c>
      <c r="H4" s="31" t="s">
        <v>42</v>
      </c>
    </row>
    <row r="5" spans="1:8" ht="27" customHeight="1" x14ac:dyDescent="0.2">
      <c r="A5" s="2" t="s">
        <v>19</v>
      </c>
      <c r="B5" s="18">
        <f>IFERROR(AVERAGE(C7:C76),"")</f>
        <v>20.18965517241379</v>
      </c>
      <c r="C5" s="2" t="s">
        <v>20</v>
      </c>
      <c r="D5" s="18">
        <f>IFERROR(AVERAGE(D7:D76),"")</f>
        <v>7.2333333333333334</v>
      </c>
      <c r="E5" s="2" t="s">
        <v>21</v>
      </c>
      <c r="F5" s="18">
        <f>IFERROR(AVERAGE(E7:E76),"")</f>
        <v>36.896551724137929</v>
      </c>
      <c r="G5" s="2" t="s">
        <v>22</v>
      </c>
      <c r="H5" s="19">
        <f>COUNTIF(B7:B76,"&lt;&gt;")</f>
        <v>29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32"/>
      <c r="B7" s="6" t="s">
        <v>10</v>
      </c>
      <c r="C7" s="7">
        <v>18.2</v>
      </c>
      <c r="D7" s="7">
        <v>10.3</v>
      </c>
      <c r="E7" s="7">
        <v>54.3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29.9</v>
      </c>
      <c r="D8" s="11">
        <v>9.4</v>
      </c>
      <c r="E8" s="11">
        <v>19.5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29"/>
      <c r="D9" s="29">
        <v>5</v>
      </c>
      <c r="E9" s="11">
        <v>26.3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22.9</v>
      </c>
      <c r="D10" s="11">
        <v>10.3</v>
      </c>
      <c r="E10" s="11">
        <v>23.1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10" t="s">
        <v>10</v>
      </c>
      <c r="C11" s="11">
        <v>15.2</v>
      </c>
      <c r="D11" s="11">
        <v>9.9</v>
      </c>
      <c r="E11" s="33">
        <v>48.7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11">
        <v>20.6</v>
      </c>
      <c r="D12" s="11">
        <v>2.8</v>
      </c>
      <c r="E12" s="11">
        <v>20.399999999999999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27.4</v>
      </c>
      <c r="D13" s="11">
        <v>10.9</v>
      </c>
      <c r="E13" s="11">
        <v>38.4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20.7</v>
      </c>
      <c r="D14" s="11">
        <v>10.199999999999999</v>
      </c>
      <c r="E14" s="11">
        <v>52.6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24.2</v>
      </c>
      <c r="D15" s="11">
        <v>2.2999999999999998</v>
      </c>
      <c r="E15" s="11">
        <v>39.6</v>
      </c>
      <c r="F15" s="23"/>
      <c r="G15" s="10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10.6</v>
      </c>
      <c r="D16" s="11">
        <v>6.3</v>
      </c>
      <c r="E16" s="33">
        <v>42.6</v>
      </c>
      <c r="F16" s="10" t="s">
        <v>31</v>
      </c>
      <c r="G16" s="23"/>
      <c r="H16" s="12"/>
    </row>
    <row r="17" spans="1:8" ht="12.75" customHeight="1" x14ac:dyDescent="0.2">
      <c r="A17" s="9">
        <v>11</v>
      </c>
      <c r="B17" s="23"/>
      <c r="C17" s="11">
        <v>11.3</v>
      </c>
      <c r="D17" s="11">
        <v>5.3</v>
      </c>
      <c r="E17" s="11">
        <v>16.899999999999999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27.2</v>
      </c>
      <c r="D18" s="11">
        <v>11.8</v>
      </c>
      <c r="E18" s="11">
        <v>22.1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11.3</v>
      </c>
      <c r="D19" s="11">
        <v>2.8</v>
      </c>
      <c r="E19" s="29"/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24.5</v>
      </c>
      <c r="D20" s="11">
        <v>5.6</v>
      </c>
      <c r="E20" s="11">
        <v>54.4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20.6</v>
      </c>
      <c r="D21" s="11">
        <v>13.4</v>
      </c>
      <c r="E21" s="11">
        <v>13.9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29.4</v>
      </c>
      <c r="D22" s="11">
        <v>8.5</v>
      </c>
      <c r="E22" s="11">
        <v>55.6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5.9</v>
      </c>
      <c r="E23" s="11">
        <v>14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17.399999999999999</v>
      </c>
      <c r="D24" s="11">
        <v>9.1999999999999993</v>
      </c>
      <c r="E24" s="33">
        <v>21.7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34" t="s">
        <v>45</v>
      </c>
      <c r="C25" s="11">
        <v>28.2</v>
      </c>
      <c r="D25" s="11">
        <v>10.4</v>
      </c>
      <c r="E25" s="33">
        <v>59.7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34" t="s">
        <v>45</v>
      </c>
      <c r="C26" s="11">
        <v>26.2</v>
      </c>
      <c r="D26" s="11">
        <v>4.4000000000000004</v>
      </c>
      <c r="E26" s="33">
        <v>25.9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34" t="s">
        <v>45</v>
      </c>
      <c r="C27" s="11">
        <v>11.5</v>
      </c>
      <c r="D27" s="11">
        <v>1.4</v>
      </c>
      <c r="E27" s="33">
        <v>35.200000000000003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19.7</v>
      </c>
      <c r="D28" s="11">
        <v>2.6</v>
      </c>
      <c r="E28" s="33">
        <v>47.9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14.3</v>
      </c>
      <c r="D29" s="11">
        <v>6.3</v>
      </c>
      <c r="E29" s="33">
        <v>49.4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14.2</v>
      </c>
      <c r="D30" s="11">
        <v>9.9</v>
      </c>
      <c r="E30" s="33">
        <v>9.5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27.3</v>
      </c>
      <c r="D31" s="11">
        <v>8.4</v>
      </c>
      <c r="E31" s="33">
        <v>58.1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15.9</v>
      </c>
      <c r="D32" s="11">
        <v>10</v>
      </c>
      <c r="E32" s="33">
        <v>47.3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17.2</v>
      </c>
      <c r="D33" s="11">
        <v>6.1</v>
      </c>
      <c r="E33" s="33">
        <v>58.4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27.3</v>
      </c>
      <c r="D34" s="11">
        <v>1.6</v>
      </c>
      <c r="E34" s="33">
        <v>51.3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23.8</v>
      </c>
      <c r="D35" s="11">
        <v>14.4</v>
      </c>
      <c r="E35" s="33">
        <v>9.3000000000000007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13.4</v>
      </c>
      <c r="D36" s="11">
        <v>1.6</v>
      </c>
      <c r="E36" s="33">
        <v>53.9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2026-06-07T02:22:07Z</dcterms:modified>
</cp:coreProperties>
</file>