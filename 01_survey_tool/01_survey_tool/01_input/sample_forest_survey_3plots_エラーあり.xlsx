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topype\01_survey_tool\01_input\"/>
    </mc:Choice>
  </mc:AlternateContent>
  <xr:revisionPtr revIDLastSave="0" documentId="13_ncr:1_{099DCEB4-EFD7-4C8D-87DA-6328DC173E6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001" sheetId="1" r:id="rId1"/>
    <sheet name="P002" sheetId="2" r:id="rId2"/>
    <sheet name="P003" sheetId="3" r:id="rId3"/>
  </sheets>
  <definedNames>
    <definedName name="_xlnm.Print_Area" localSheetId="0">'P001'!$A$1:$H$76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D5" i="3"/>
  <c r="B5" i="3"/>
  <c r="H5" i="2"/>
  <c r="F5" i="2"/>
  <c r="D5" i="2"/>
  <c r="B5" i="2"/>
  <c r="H5" i="1"/>
  <c r="F5" i="1"/>
  <c r="D5" i="1"/>
  <c r="B5" i="1"/>
</calcChain>
</file>

<file path=xl/sharedStrings.xml><?xml version="1.0" encoding="utf-8"?>
<sst xmlns="http://schemas.openxmlformats.org/spreadsheetml/2006/main" count="606" uniqueCount="45">
  <si>
    <t>毎木調査表</t>
  </si>
  <si>
    <t>調査ID</t>
  </si>
  <si>
    <t>P001</t>
  </si>
  <si>
    <t>地域名</t>
  </si>
  <si>
    <t>A地区</t>
  </si>
  <si>
    <t>調査日時</t>
  </si>
  <si>
    <t>天気</t>
  </si>
  <si>
    <t>晴れ</t>
  </si>
  <si>
    <t>記帳者</t>
  </si>
  <si>
    <t>侍</t>
  </si>
  <si>
    <t>対象樹種</t>
  </si>
  <si>
    <t>スギ</t>
  </si>
  <si>
    <t>面積(㎡)</t>
  </si>
  <si>
    <t>斜面位置</t>
  </si>
  <si>
    <t>中部斜面</t>
  </si>
  <si>
    <t>斜面方位</t>
  </si>
  <si>
    <t>北東</t>
  </si>
  <si>
    <t>傾斜度</t>
  </si>
  <si>
    <t>緯度</t>
  </si>
  <si>
    <t>経度</t>
  </si>
  <si>
    <t>平均樹高（ｍ）</t>
  </si>
  <si>
    <t>平均枝下高（ｍ）</t>
  </si>
  <si>
    <t>平均胸高直径
(cm)</t>
  </si>
  <si>
    <t>立木本数</t>
  </si>
  <si>
    <t>番号</t>
  </si>
  <si>
    <t>樹種</t>
  </si>
  <si>
    <t>樹高(m)</t>
  </si>
  <si>
    <t>枝下高(m)</t>
  </si>
  <si>
    <t>胸高直径(cm)</t>
  </si>
  <si>
    <t>異常区分</t>
  </si>
  <si>
    <t>被害区分</t>
  </si>
  <si>
    <t>備考</t>
  </si>
  <si>
    <t>なし</t>
  </si>
  <si>
    <t>　</t>
  </si>
  <si>
    <t>P002</t>
  </si>
  <si>
    <t>B地区</t>
  </si>
  <si>
    <t>2026/5/17 14:10～15:00</t>
  </si>
  <si>
    <t>上部斜面</t>
  </si>
  <si>
    <t>P003</t>
  </si>
  <si>
    <t>C地区</t>
  </si>
  <si>
    <t>2026/5/18 9:30～10:30</t>
  </si>
  <si>
    <t>下部斜面</t>
  </si>
  <si>
    <t>東</t>
  </si>
  <si>
    <t>2026/5/17 12:30～13:30</t>
    <phoneticPr fontId="1"/>
  </si>
  <si>
    <t>アンパンマン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</si>
</sst>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"/>
    <numFmt numFmtId="178" formatCode="000"/>
  </numFmts>
  <fonts count="7" x14ac:knownFonts="1">
    <font>
      <sz val="11"/>
      <name val="ＭＳ Ｐゴシック"/>
    </font>
    <font>
      <sz val="6"/>
      <name val="ＭＳ Ｐゴシック"/>
      <family val="3"/>
      <charset val="128"/>
    </font>
    <font>
      <b/>
      <sz val="14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sz val="10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>
      <alignment vertical="center"/>
    </xf>
  </cellStyleXfs>
  <cellXfs count="36">
    <xf numFmtId="0" fontId="0" fillId="0" borderId="0" xfId="0" applyBorder="1">
      <alignment vertical="center"/>
    </xf>
    <xf numFmtId="0" fontId="0" fillId="0" borderId="0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1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22" fontId="5" fillId="4" borderId="2" xfId="0" applyNumberFormat="1" applyFont="1" applyFill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176" fontId="4" fillId="5" borderId="2" xfId="0" applyNumberFormat="1" applyFont="1" applyFill="1" applyBorder="1" applyAlignment="1">
      <alignment horizontal="center" vertical="center"/>
    </xf>
    <xf numFmtId="177" fontId="3" fillId="5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" fontId="3" fillId="6" borderId="2" xfId="0" applyNumberFormat="1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left" vertical="center"/>
    </xf>
    <xf numFmtId="176" fontId="4" fillId="6" borderId="2" xfId="0" applyNumberFormat="1" applyFont="1" applyFill="1" applyBorder="1" applyAlignment="1">
      <alignment horizontal="center" vertical="center"/>
    </xf>
    <xf numFmtId="177" fontId="3" fillId="6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1" fontId="4" fillId="6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</cellXfs>
  <cellStyles count="1">
    <cellStyle name="標準" xfId="0" builtinId="0"/>
  </cellStyles>
  <dxfs count="2"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"/>
  <sheetViews>
    <sheetView showGridLines="0" workbookViewId="0">
      <selection activeCell="K9" sqref="K9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33" t="s">
        <v>0</v>
      </c>
      <c r="B1" s="34"/>
      <c r="C1" s="34"/>
      <c r="D1" s="34"/>
      <c r="E1" s="34"/>
      <c r="F1" s="34"/>
      <c r="G1" s="34"/>
      <c r="H1" s="35"/>
    </row>
    <row r="2" spans="1:8" ht="19" customHeight="1" x14ac:dyDescent="0.2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20" t="s">
        <v>43</v>
      </c>
      <c r="G2" s="2" t="s">
        <v>6</v>
      </c>
      <c r="H2" s="3" t="s">
        <v>7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400</v>
      </c>
      <c r="G3" s="2" t="s">
        <v>13</v>
      </c>
      <c r="H3" s="3" t="s">
        <v>14</v>
      </c>
    </row>
    <row r="4" spans="1:8" ht="19" customHeight="1" x14ac:dyDescent="0.2">
      <c r="A4" s="2" t="s">
        <v>15</v>
      </c>
      <c r="B4" s="3" t="s">
        <v>16</v>
      </c>
      <c r="C4" s="2" t="s">
        <v>17</v>
      </c>
      <c r="D4" s="22">
        <v>25</v>
      </c>
      <c r="E4" s="2" t="s">
        <v>18</v>
      </c>
      <c r="F4" s="17">
        <v>34.364769000000003</v>
      </c>
      <c r="G4" s="2" t="s">
        <v>19</v>
      </c>
      <c r="H4" s="17">
        <v>134.141581</v>
      </c>
    </row>
    <row r="5" spans="1:8" ht="27" customHeight="1" x14ac:dyDescent="0.2">
      <c r="A5" s="2" t="s">
        <v>20</v>
      </c>
      <c r="B5" s="18">
        <f>IFERROR(AVERAGE(C7:C76),"")</f>
        <v>18.616666666666667</v>
      </c>
      <c r="C5" s="2" t="s">
        <v>21</v>
      </c>
      <c r="D5" s="18">
        <f>IFERROR(AVERAGE(D7:D76),"")</f>
        <v>7.6899999999999995</v>
      </c>
      <c r="E5" s="2" t="s">
        <v>22</v>
      </c>
      <c r="F5" s="18">
        <f>IFERROR(AVERAGE(E7:E76),"")</f>
        <v>34.126666666666658</v>
      </c>
      <c r="G5" s="2" t="s">
        <v>23</v>
      </c>
      <c r="H5" s="19">
        <f>COUNTIF(B7:B76,"&lt;&gt;")</f>
        <v>30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5">
        <v>1</v>
      </c>
      <c r="B7" s="6" t="s">
        <v>11</v>
      </c>
      <c r="C7" s="7">
        <v>18.5</v>
      </c>
      <c r="D7" s="7">
        <v>10.6</v>
      </c>
      <c r="E7" s="7">
        <v>42.8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15.5</v>
      </c>
      <c r="D8" s="11">
        <v>4.4000000000000004</v>
      </c>
      <c r="E8" s="11">
        <v>31.2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11">
        <v>10.4</v>
      </c>
      <c r="D9" s="11">
        <v>7.2</v>
      </c>
      <c r="E9" s="11">
        <v>57.9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18.3</v>
      </c>
      <c r="D10" s="11">
        <v>9</v>
      </c>
      <c r="E10" s="11">
        <v>59.9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10.8</v>
      </c>
      <c r="D11" s="11">
        <v>7.1</v>
      </c>
      <c r="E11" s="11">
        <v>46.7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11">
        <v>22.3</v>
      </c>
      <c r="D12" s="11">
        <v>13.9</v>
      </c>
      <c r="E12" s="11">
        <v>24.3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25.7</v>
      </c>
      <c r="D13" s="11">
        <v>4.0999999999999996</v>
      </c>
      <c r="E13" s="11">
        <v>20.7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17.100000000000001</v>
      </c>
      <c r="D14" s="11">
        <v>10.199999999999999</v>
      </c>
      <c r="E14" s="11">
        <v>22.2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17.8</v>
      </c>
      <c r="D15" s="11">
        <v>3</v>
      </c>
      <c r="E15" s="11">
        <v>26.6</v>
      </c>
      <c r="F15" s="10" t="s">
        <v>32</v>
      </c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26</v>
      </c>
      <c r="D16" s="11">
        <v>14.6</v>
      </c>
      <c r="E16" s="11">
        <v>41</v>
      </c>
      <c r="F16" s="10" t="s">
        <v>32</v>
      </c>
      <c r="G16" s="10" t="s">
        <v>32</v>
      </c>
      <c r="H16" s="12"/>
    </row>
    <row r="17" spans="1:8" ht="12.75" customHeight="1" x14ac:dyDescent="0.2">
      <c r="A17" s="9">
        <v>11</v>
      </c>
      <c r="B17" s="10" t="s">
        <v>11</v>
      </c>
      <c r="C17" s="11">
        <v>16.3</v>
      </c>
      <c r="D17" s="11">
        <v>1.3</v>
      </c>
      <c r="E17" s="11">
        <v>54.4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19.8</v>
      </c>
      <c r="D18" s="11">
        <v>8.1</v>
      </c>
      <c r="E18" s="11">
        <v>33.5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25.2</v>
      </c>
      <c r="D19" s="11">
        <v>6.9</v>
      </c>
      <c r="E19" s="11">
        <v>34.5</v>
      </c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26.9</v>
      </c>
      <c r="D20" s="11">
        <v>1.9</v>
      </c>
      <c r="E20" s="11">
        <v>10.7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17.8</v>
      </c>
      <c r="D21" s="11">
        <v>9.3000000000000007</v>
      </c>
      <c r="E21" s="11">
        <v>18.399999999999999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28.9</v>
      </c>
      <c r="D22" s="11">
        <v>11.3</v>
      </c>
      <c r="E22" s="11">
        <v>33.5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15.1</v>
      </c>
      <c r="D23" s="11">
        <v>5.3</v>
      </c>
      <c r="E23" s="11">
        <v>39.299999999999997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18.3</v>
      </c>
      <c r="D24" s="11">
        <v>9.4</v>
      </c>
      <c r="E24" s="11">
        <v>10.9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22.8</v>
      </c>
      <c r="D25" s="11">
        <v>7.3</v>
      </c>
      <c r="E25" s="11">
        <v>48.4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26.7</v>
      </c>
      <c r="D26" s="11">
        <v>12.7</v>
      </c>
      <c r="E26" s="11">
        <v>29.3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12.1</v>
      </c>
      <c r="D27" s="11">
        <v>7.3</v>
      </c>
      <c r="E27" s="11">
        <v>31.4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10.9</v>
      </c>
      <c r="D28" s="11">
        <v>7.6</v>
      </c>
      <c r="E28" s="11">
        <v>49.1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20.8</v>
      </c>
      <c r="D29" s="11">
        <v>14.5</v>
      </c>
      <c r="E29" s="11">
        <v>17.7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9.6</v>
      </c>
      <c r="D30" s="11">
        <v>4.7</v>
      </c>
      <c r="E30" s="11">
        <v>38.4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8.6999999999999993</v>
      </c>
      <c r="D31" s="11">
        <v>5.5</v>
      </c>
      <c r="E31" s="11">
        <v>24.5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25</v>
      </c>
      <c r="D32" s="11">
        <v>13.2</v>
      </c>
      <c r="E32" s="11">
        <v>24.3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10.199999999999999</v>
      </c>
      <c r="D33" s="11">
        <v>6.1</v>
      </c>
      <c r="E33" s="11">
        <v>51.6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20.7</v>
      </c>
      <c r="D34" s="11">
        <v>1.5</v>
      </c>
      <c r="E34" s="11">
        <v>35.700000000000003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25.9</v>
      </c>
      <c r="D35" s="11">
        <v>8.8000000000000007</v>
      </c>
      <c r="E35" s="11">
        <v>34.5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14.4</v>
      </c>
      <c r="D36" s="11">
        <v>3.9</v>
      </c>
      <c r="E36" s="11">
        <v>30.4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conditionalFormatting sqref="A7:H76">
    <cfRule type="expression" dxfId="1" priority="1">
      <formula>COUNTIF($A7:$H7,"*エラー*")&gt;0</formula>
    </cfRule>
    <cfRule type="expression" dxfId="0" priority="2">
      <formula>COUNTIF($A7:$H7,"*要確認*")&gt;0</formula>
    </cfRule>
  </conditionalFormatting>
  <dataValidations count="5">
    <dataValidation type="list" allowBlank="1" showInputMessage="1" showErrorMessage="1" sqref="B4" xr:uid="{00000000-0002-0000-0000-000000000000}">
      <formula1>"　,北,北東,東,南東,南,南西,西,北西,平坦"</formula1>
    </dataValidation>
    <dataValidation type="list" allowBlank="1" showInputMessage="1" showErrorMessage="1" sqref="H3" xr:uid="{00000000-0002-0000-0000-000001000000}">
      <formula1>"　,山頂部,上部斜面,中部斜面,下部斜面,谷部,平坦地"</formula1>
    </dataValidation>
    <dataValidation type="list" allowBlank="1" showInputMessage="1" showErrorMessage="1" sqref="H2" xr:uid="{00000000-0002-0000-0000-000002000000}">
      <formula1>"　,晴れ,曇り,雨,雪"</formula1>
    </dataValidation>
    <dataValidation type="list" allowBlank="1" showInputMessage="1" showErrorMessage="1" sqref="F7:F76" xr:uid="{00000000-0002-0000-0000-000003000000}">
      <formula1>"　,なし,枯損木,先折れ,二股木,傾斜木,空洞,腐朽,変色,その他"</formula1>
    </dataValidation>
    <dataValidation type="list" allowBlank="1" showInputMessage="1" showErrorMessage="1" sqref="G7:G76" xr:uid="{00000000-0002-0000-0000-000004000000}">
      <formula1>"　,なし,獣害,病虫害,風雪害,その他"</formula1>
    </dataValidation>
  </dataValidations>
  <printOptions horizontalCentered="1"/>
  <pageMargins left="0.2" right="0.2" top="0.2" bottom="0.2" header="0.1" footer="0.1"/>
  <pageSetup paperSize="9"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workbookViewId="0">
      <selection activeCell="L7" sqref="L7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33" t="s">
        <v>0</v>
      </c>
      <c r="B1" s="34"/>
      <c r="C1" s="34"/>
      <c r="D1" s="34"/>
      <c r="E1" s="34"/>
      <c r="F1" s="34"/>
      <c r="G1" s="34"/>
      <c r="H1" s="35"/>
    </row>
    <row r="2" spans="1:8" ht="19" customHeight="1" x14ac:dyDescent="0.2">
      <c r="A2" s="2" t="s">
        <v>1</v>
      </c>
      <c r="B2" s="3" t="s">
        <v>34</v>
      </c>
      <c r="C2" s="2" t="s">
        <v>3</v>
      </c>
      <c r="D2" s="3" t="s">
        <v>35</v>
      </c>
      <c r="E2" s="2" t="s">
        <v>5</v>
      </c>
      <c r="F2" s="20" t="s">
        <v>36</v>
      </c>
      <c r="G2" s="2" t="s">
        <v>6</v>
      </c>
      <c r="H2" s="31" t="s">
        <v>33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400</v>
      </c>
      <c r="G3" s="2" t="s">
        <v>13</v>
      </c>
      <c r="H3" s="3" t="s">
        <v>37</v>
      </c>
    </row>
    <row r="4" spans="1:8" ht="19" customHeight="1" x14ac:dyDescent="0.2">
      <c r="A4" s="2" t="s">
        <v>15</v>
      </c>
      <c r="B4" s="23"/>
      <c r="C4" s="2" t="s">
        <v>17</v>
      </c>
      <c r="D4" s="22">
        <v>30</v>
      </c>
      <c r="E4" s="2" t="s">
        <v>18</v>
      </c>
      <c r="F4" s="17">
        <v>34.363030000000002</v>
      </c>
      <c r="G4" s="2" t="s">
        <v>19</v>
      </c>
      <c r="H4" s="17">
        <v>134.14425700000001</v>
      </c>
    </row>
    <row r="5" spans="1:8" ht="27" customHeight="1" x14ac:dyDescent="0.2">
      <c r="A5" s="2" t="s">
        <v>20</v>
      </c>
      <c r="B5" s="18">
        <f>IFERROR(AVERAGE(C7:C76),"")</f>
        <v>19.139999999999997</v>
      </c>
      <c r="C5" s="2" t="s">
        <v>21</v>
      </c>
      <c r="D5" s="18">
        <f>IFERROR(AVERAGE(D7:D76),"")</f>
        <v>8.0333333333333332</v>
      </c>
      <c r="E5" s="2" t="s">
        <v>22</v>
      </c>
      <c r="F5" s="18">
        <f>IFERROR(AVERAGE(E7:E76),"")</f>
        <v>30.90666666666667</v>
      </c>
      <c r="G5" s="2" t="s">
        <v>23</v>
      </c>
      <c r="H5" s="19">
        <f>COUNTIF(B7:B76,"&lt;&gt;")</f>
        <v>30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5">
        <v>1</v>
      </c>
      <c r="B7" s="6" t="s">
        <v>11</v>
      </c>
      <c r="C7" s="7">
        <v>19.100000000000001</v>
      </c>
      <c r="D7" s="7">
        <v>10.6</v>
      </c>
      <c r="E7" s="7">
        <v>33.9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20.399999999999999</v>
      </c>
      <c r="D8" s="11">
        <v>13.7</v>
      </c>
      <c r="E8" s="11">
        <v>26.3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11">
        <v>23.7</v>
      </c>
      <c r="D9" s="11">
        <v>4</v>
      </c>
      <c r="E9" s="11">
        <v>15.5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28.2</v>
      </c>
      <c r="D10" s="11">
        <v>14.3</v>
      </c>
      <c r="E10" s="24">
        <v>0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27</v>
      </c>
      <c r="D11" s="11">
        <v>12.1</v>
      </c>
      <c r="E11" s="11">
        <v>53.1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24">
        <v>15</v>
      </c>
      <c r="D12" s="24">
        <v>25</v>
      </c>
      <c r="E12" s="11">
        <v>29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18.5</v>
      </c>
      <c r="D13" s="11">
        <v>6.1</v>
      </c>
      <c r="E13" s="11">
        <v>39.200000000000003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17.399999999999999</v>
      </c>
      <c r="D14" s="11">
        <v>2.6</v>
      </c>
      <c r="E14" s="11">
        <v>17.899999999999999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14.1</v>
      </c>
      <c r="D15" s="11">
        <v>6.5</v>
      </c>
      <c r="E15" s="11">
        <v>25</v>
      </c>
      <c r="F15" s="10" t="s">
        <v>32</v>
      </c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15</v>
      </c>
      <c r="D16" s="11">
        <v>7.3</v>
      </c>
      <c r="E16" s="11">
        <v>32.9</v>
      </c>
      <c r="F16" s="10" t="s">
        <v>32</v>
      </c>
      <c r="G16" s="10" t="s">
        <v>32</v>
      </c>
      <c r="H16" s="12"/>
    </row>
    <row r="17" spans="1:8" ht="12.75" customHeight="1" x14ac:dyDescent="0.2">
      <c r="A17" s="9">
        <v>11</v>
      </c>
      <c r="B17" s="10" t="s">
        <v>11</v>
      </c>
      <c r="C17" s="11">
        <v>18.2</v>
      </c>
      <c r="D17" s="11">
        <v>7.5</v>
      </c>
      <c r="E17" s="11">
        <v>14.5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20.2</v>
      </c>
      <c r="D18" s="11">
        <v>1</v>
      </c>
      <c r="E18" s="11">
        <v>56.5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27.7</v>
      </c>
      <c r="D19" s="11">
        <v>17.2</v>
      </c>
      <c r="E19" s="11">
        <v>28.7</v>
      </c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17.3</v>
      </c>
      <c r="D20" s="11">
        <v>11.4</v>
      </c>
      <c r="E20" s="11">
        <v>28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16.399999999999999</v>
      </c>
      <c r="D21" s="11">
        <v>10.3</v>
      </c>
      <c r="E21" s="11">
        <v>11.8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14.4</v>
      </c>
      <c r="D22" s="11">
        <v>2.5</v>
      </c>
      <c r="E22" s="11">
        <v>50.8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12.2</v>
      </c>
      <c r="D23" s="11">
        <v>2.4</v>
      </c>
      <c r="E23" s="11">
        <v>25.8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22.9</v>
      </c>
      <c r="D24" s="11">
        <v>14.2</v>
      </c>
      <c r="E24" s="11">
        <v>17.2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21.9</v>
      </c>
      <c r="D25" s="11">
        <v>14.2</v>
      </c>
      <c r="E25" s="11">
        <v>20.5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11.4</v>
      </c>
      <c r="D26" s="11">
        <v>2.2000000000000002</v>
      </c>
      <c r="E26" s="11">
        <v>17.399999999999999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21.8</v>
      </c>
      <c r="D27" s="11">
        <v>11.7</v>
      </c>
      <c r="E27" s="11">
        <v>33.5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29.8</v>
      </c>
      <c r="D28" s="11">
        <v>8.1999999999999993</v>
      </c>
      <c r="E28" s="11">
        <v>54.3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14.3</v>
      </c>
      <c r="D29" s="11">
        <v>2.2999999999999998</v>
      </c>
      <c r="E29" s="11">
        <v>46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16.100000000000001</v>
      </c>
      <c r="D30" s="11">
        <v>8.4</v>
      </c>
      <c r="E30" s="11">
        <v>49.2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20.5</v>
      </c>
      <c r="D31" s="11">
        <v>6.6</v>
      </c>
      <c r="E31" s="11">
        <v>48.2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23</v>
      </c>
      <c r="D32" s="11">
        <v>3.7</v>
      </c>
      <c r="E32" s="11">
        <v>23.8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25.8</v>
      </c>
      <c r="D33" s="11">
        <v>7.9</v>
      </c>
      <c r="E33" s="11">
        <v>20.6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15.5</v>
      </c>
      <c r="D34" s="11">
        <v>3.8</v>
      </c>
      <c r="E34" s="11">
        <v>35.6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15</v>
      </c>
      <c r="D35" s="11">
        <v>2.2999999999999998</v>
      </c>
      <c r="E35" s="11">
        <v>45.3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11.4</v>
      </c>
      <c r="D36" s="11">
        <v>1</v>
      </c>
      <c r="E36" s="11">
        <v>26.7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dataValidations count="2">
    <dataValidation type="list" allowBlank="1" showInputMessage="1" showErrorMessage="1" sqref="F13" xr:uid="{CD2890EE-BAED-4B39-9B58-F474CCA96AB9}">
      <formula1>""" "",""晴れ"",""曇り"""</formula1>
    </dataValidation>
    <dataValidation type="list" allowBlank="1" showInputMessage="1" showErrorMessage="1" sqref="H2" xr:uid="{A14A41E6-60F9-4620-BD5A-0317340F0F67}">
      <formula1>"　,晴れ,曇り,雨,雪"</formula1>
    </dataValidation>
  </dataValidations>
  <printOptions horizontalCentered="1"/>
  <pageMargins left="0.2" right="0.2" top="0.2" bottom="0.2" header="0.1" footer="0.1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6"/>
  <sheetViews>
    <sheetView tabSelected="1" workbookViewId="0">
      <selection activeCell="L9" sqref="L9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33" t="s">
        <v>0</v>
      </c>
      <c r="B1" s="34"/>
      <c r="C1" s="34"/>
      <c r="D1" s="34"/>
      <c r="E1" s="34"/>
      <c r="F1" s="34"/>
      <c r="G1" s="34"/>
      <c r="H1" s="35"/>
    </row>
    <row r="2" spans="1:8" ht="19" customHeight="1" x14ac:dyDescent="0.2">
      <c r="A2" s="2" t="s">
        <v>1</v>
      </c>
      <c r="B2" s="3" t="s">
        <v>38</v>
      </c>
      <c r="C2" s="2" t="s">
        <v>3</v>
      </c>
      <c r="D2" s="3" t="s">
        <v>39</v>
      </c>
      <c r="E2" s="2" t="s">
        <v>5</v>
      </c>
      <c r="F2" s="20" t="s">
        <v>40</v>
      </c>
      <c r="G2" s="2" t="s">
        <v>6</v>
      </c>
      <c r="H2" s="3" t="s">
        <v>7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200</v>
      </c>
      <c r="G3" s="2" t="s">
        <v>13</v>
      </c>
      <c r="H3" s="3" t="s">
        <v>41</v>
      </c>
    </row>
    <row r="4" spans="1:8" ht="19" customHeight="1" x14ac:dyDescent="0.2">
      <c r="A4" s="2" t="s">
        <v>15</v>
      </c>
      <c r="B4" s="3" t="s">
        <v>42</v>
      </c>
      <c r="C4" s="2" t="s">
        <v>17</v>
      </c>
      <c r="D4" s="27">
        <v>500</v>
      </c>
      <c r="E4" s="2" t="s">
        <v>18</v>
      </c>
      <c r="F4" s="25"/>
      <c r="G4" s="2" t="s">
        <v>19</v>
      </c>
      <c r="H4" s="30" t="s">
        <v>44</v>
      </c>
    </row>
    <row r="5" spans="1:8" ht="27" customHeight="1" x14ac:dyDescent="0.2">
      <c r="A5" s="2" t="s">
        <v>20</v>
      </c>
      <c r="B5" s="18">
        <f>IFERROR(AVERAGE(C7:C76),"")</f>
        <v>20.18965517241379</v>
      </c>
      <c r="C5" s="2" t="s">
        <v>21</v>
      </c>
      <c r="D5" s="18">
        <f>IFERROR(AVERAGE(D7:D76),"")</f>
        <v>7.2333333333333334</v>
      </c>
      <c r="E5" s="2" t="s">
        <v>22</v>
      </c>
      <c r="F5" s="18">
        <f>IFERROR(AVERAGE(E7:E76),"")</f>
        <v>36.896551724137929</v>
      </c>
      <c r="G5" s="2" t="s">
        <v>23</v>
      </c>
      <c r="H5" s="19">
        <f>COUNTIF(B7:B76,"&lt;&gt;")</f>
        <v>29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32"/>
      <c r="B7" s="6" t="s">
        <v>11</v>
      </c>
      <c r="C7" s="7">
        <v>18.2</v>
      </c>
      <c r="D7" s="7">
        <v>10.3</v>
      </c>
      <c r="E7" s="7">
        <v>54.3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29.9</v>
      </c>
      <c r="D8" s="11">
        <v>9.4</v>
      </c>
      <c r="E8" s="11">
        <v>19.5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24"/>
      <c r="D9" s="24">
        <v>5</v>
      </c>
      <c r="E9" s="11">
        <v>26.3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22.9</v>
      </c>
      <c r="D10" s="11">
        <v>10.3</v>
      </c>
      <c r="E10" s="11">
        <v>23.1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15.2</v>
      </c>
      <c r="D11" s="11">
        <v>9.9</v>
      </c>
      <c r="E11" s="11">
        <v>48.7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11">
        <v>20.6</v>
      </c>
      <c r="D12" s="11">
        <v>2.8</v>
      </c>
      <c r="E12" s="11">
        <v>20.399999999999999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27.4</v>
      </c>
      <c r="D13" s="11">
        <v>10.9</v>
      </c>
      <c r="E13" s="11">
        <v>38.4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20.7</v>
      </c>
      <c r="D14" s="11">
        <v>10.199999999999999</v>
      </c>
      <c r="E14" s="11">
        <v>52.6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24.2</v>
      </c>
      <c r="D15" s="11">
        <v>2.2999999999999998</v>
      </c>
      <c r="E15" s="11">
        <v>39.6</v>
      </c>
      <c r="F15" s="26"/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10.6</v>
      </c>
      <c r="D16" s="11">
        <v>6.3</v>
      </c>
      <c r="E16" s="11">
        <v>42.6</v>
      </c>
      <c r="F16" s="10" t="s">
        <v>32</v>
      </c>
      <c r="G16" s="26"/>
      <c r="H16" s="12"/>
    </row>
    <row r="17" spans="1:8" ht="12.75" customHeight="1" x14ac:dyDescent="0.2">
      <c r="A17" s="9">
        <v>11</v>
      </c>
      <c r="B17" s="28"/>
      <c r="C17" s="11">
        <v>11.3</v>
      </c>
      <c r="D17" s="11">
        <v>5.3</v>
      </c>
      <c r="E17" s="11">
        <v>16.899999999999999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27.2</v>
      </c>
      <c r="D18" s="11">
        <v>11.8</v>
      </c>
      <c r="E18" s="11">
        <v>22.1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11.3</v>
      </c>
      <c r="D19" s="11">
        <v>2.8</v>
      </c>
      <c r="E19" s="29"/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24.5</v>
      </c>
      <c r="D20" s="11">
        <v>5.6</v>
      </c>
      <c r="E20" s="11">
        <v>54.4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20.6</v>
      </c>
      <c r="D21" s="11">
        <v>13.4</v>
      </c>
      <c r="E21" s="11">
        <v>13.9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29.4</v>
      </c>
      <c r="D22" s="11">
        <v>8.5</v>
      </c>
      <c r="E22" s="11">
        <v>55.6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15.1</v>
      </c>
      <c r="D23" s="11">
        <v>5.9</v>
      </c>
      <c r="E23" s="11">
        <v>14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17.399999999999999</v>
      </c>
      <c r="D24" s="11">
        <v>9.1999999999999993</v>
      </c>
      <c r="E24" s="11">
        <v>21.7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28.2</v>
      </c>
      <c r="D25" s="11">
        <v>10.4</v>
      </c>
      <c r="E25" s="11">
        <v>59.7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26.2</v>
      </c>
      <c r="D26" s="11">
        <v>4.4000000000000004</v>
      </c>
      <c r="E26" s="11">
        <v>25.9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11.5</v>
      </c>
      <c r="D27" s="11">
        <v>1.4</v>
      </c>
      <c r="E27" s="11">
        <v>35.200000000000003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19.7</v>
      </c>
      <c r="D28" s="11">
        <v>2.6</v>
      </c>
      <c r="E28" s="11">
        <v>47.9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14.3</v>
      </c>
      <c r="D29" s="11">
        <v>6.3</v>
      </c>
      <c r="E29" s="11">
        <v>49.4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14.2</v>
      </c>
      <c r="D30" s="11">
        <v>9.9</v>
      </c>
      <c r="E30" s="11">
        <v>9.5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27.3</v>
      </c>
      <c r="D31" s="11">
        <v>8.4</v>
      </c>
      <c r="E31" s="11">
        <v>58.1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15.9</v>
      </c>
      <c r="D32" s="11">
        <v>10</v>
      </c>
      <c r="E32" s="11">
        <v>47.3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17.2</v>
      </c>
      <c r="D33" s="11">
        <v>6.1</v>
      </c>
      <c r="E33" s="11">
        <v>58.4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27.3</v>
      </c>
      <c r="D34" s="11">
        <v>1.6</v>
      </c>
      <c r="E34" s="11">
        <v>51.3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23.8</v>
      </c>
      <c r="D35" s="11">
        <v>14.4</v>
      </c>
      <c r="E35" s="11">
        <v>9.3000000000000007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13.4</v>
      </c>
      <c r="D36" s="11">
        <v>1.6</v>
      </c>
      <c r="E36" s="11">
        <v>53.9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printOptions horizontalCentered="1"/>
  <pageMargins left="0.2" right="0.2" top="0.2" bottom="0.2" header="0.1" footer="0.1"/>
  <pageSetup paperSize="9" scale="8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P001</vt:lpstr>
      <vt:lpstr>P002</vt:lpstr>
      <vt:lpstr>P003</vt:lpstr>
      <vt:lpstr>'P001'!Print_Area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cp:lastPrinted>2026-05-18T10:22:51Z</cp:lastPrinted>
  <dcterms:created xsi:type="dcterms:W3CDTF">2026-05-18T10:23:46Z</dcterms:created>
  <dcterms:modified xsi:type="dcterms:W3CDTF">2026-05-21T10:49:44Z</dcterms:modified>
</cp:coreProperties>
</file>